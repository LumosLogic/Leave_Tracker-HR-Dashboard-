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ish.kandel\Documents\"/>
    </mc:Choice>
  </mc:AlternateContent>
  <xr:revisionPtr revIDLastSave="0" documentId="8_{CC16D17F-F535-4903-BB2B-E2A36BDAA603}" xr6:coauthVersionLast="47" xr6:coauthVersionMax="47" xr10:uidLastSave="{00000000-0000-0000-0000-000000000000}"/>
  <bookViews>
    <workbookView xWindow="-108" yWindow="-108" windowWidth="23256" windowHeight="12456" xr2:uid="{0F8B3EAC-F07F-4CA5-A8D8-BEA9EBE603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0" i="1" l="1"/>
</calcChain>
</file>

<file path=xl/sharedStrings.xml><?xml version="1.0" encoding="utf-8"?>
<sst xmlns="http://schemas.openxmlformats.org/spreadsheetml/2006/main" count="31" uniqueCount="31">
  <si>
    <t>Sr.No</t>
  </si>
  <si>
    <t>Employee
Code</t>
  </si>
  <si>
    <t>Name of the
Employees</t>
  </si>
  <si>
    <t xml:space="preserve">PAN </t>
  </si>
  <si>
    <t>Date of joining</t>
  </si>
  <si>
    <t>Zarna  Mukeshbhai Suthar</t>
  </si>
  <si>
    <t>GEYPS3439M</t>
  </si>
  <si>
    <t>Mukesh Mohanbhai Thakor</t>
  </si>
  <si>
    <t>CLLPT4303D</t>
  </si>
  <si>
    <t>Jignesh Indulal Pandya</t>
  </si>
  <si>
    <t>ATEPP0786D</t>
  </si>
  <si>
    <t>Ishanee Bhatt</t>
  </si>
  <si>
    <t>GNZPB7817L</t>
  </si>
  <si>
    <t>Chirag Vishnubhai Patel</t>
  </si>
  <si>
    <t>AUMPP4325K</t>
  </si>
  <si>
    <t>15 December 2025</t>
  </si>
  <si>
    <t>Dixit Rameshbhai Gondaliya</t>
  </si>
  <si>
    <t>CZQPG6045L</t>
  </si>
  <si>
    <t>Jaydip Patel</t>
  </si>
  <si>
    <t>FQJPP6283G</t>
  </si>
  <si>
    <t>Bhavna Shaileshbhai Parekh</t>
  </si>
  <si>
    <t>FPFPP0410C</t>
  </si>
  <si>
    <t>GROSS</t>
  </si>
  <si>
    <t>PAYABLE GROSS</t>
  </si>
  <si>
    <t>EMPLOYEE
ESIC</t>
  </si>
  <si>
    <t>EMPLOYEE
PF</t>
  </si>
  <si>
    <t>PRO. TAX</t>
  </si>
  <si>
    <t>EMPLOYER 
ESIC</t>
  </si>
  <si>
    <t>EMPLOYER 
PF</t>
  </si>
  <si>
    <t>Totals</t>
  </si>
  <si>
    <t>NET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</si>
</sst>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[$-F800]dddd\,\ mmmm\ dd\,\ yyyy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Display"/>
      <family val="1"/>
      <scheme val="major"/>
    </font>
    <font>
      <sz val="10"/>
      <name val="Aptos Narrow"/>
      <family val="2"/>
      <scheme val="minor"/>
    </font>
    <font>
      <sz val="10"/>
      <color indexed="8"/>
      <name val="Book Antiqua"/>
      <family val="1"/>
    </font>
    <font>
      <sz val="10"/>
      <color indexed="8"/>
      <name val="Aptos Display"/>
      <family val="1"/>
      <scheme val="major"/>
    </font>
    <font>
      <b/>
      <sz val="12"/>
      <name val="Aptos Narrow"/>
      <family val="2"/>
      <scheme val="minor"/>
    </font>
    <font>
      <b/>
      <sz val="10"/>
      <color theme="1"/>
      <name val="Aptos Display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right"/>
    </xf>
    <xf numFmtId="165" fontId="3" fillId="0" borderId="1" xfId="0" quotePrefix="1" applyNumberFormat="1" applyFont="1" applyBorder="1" applyAlignment="1">
      <alignment horizontal="right" vertical="center"/>
    </xf>
    <xf numFmtId="17" fontId="3" fillId="0" borderId="1" xfId="0" applyNumberFormat="1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/>
    </xf>
    <xf numFmtId="165" fontId="3" fillId="4" borderId="1" xfId="0" quotePrefix="1" applyNumberFormat="1" applyFont="1" applyFill="1" applyBorder="1" applyAlignment="1">
      <alignment horizontal="right" vertical="center"/>
    </xf>
    <xf numFmtId="0" fontId="2" fillId="3" borderId="1" xfId="0" applyFont="1" applyFill="1" applyBorder="1"/>
    <xf numFmtId="0" fontId="3" fillId="3" borderId="1" xfId="0" applyFont="1" applyFill="1" applyBorder="1" applyAlignment="1">
      <alignment horizontal="right"/>
    </xf>
    <xf numFmtId="17" fontId="3" fillId="3" borderId="1" xfId="0" applyNumberFormat="1" applyFont="1" applyFill="1" applyBorder="1" applyAlignment="1">
      <alignment horizontal="right" vertical="center"/>
    </xf>
    <xf numFmtId="165" fontId="3" fillId="3" borderId="1" xfId="0" quotePrefix="1" applyNumberFormat="1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center" vertical="center" wrapText="1"/>
    </xf>
    <xf numFmtId="164" fontId="5" fillId="0" borderId="1" xfId="1" applyNumberFormat="1" applyFont="1" applyFill="1" applyBorder="1" applyAlignment="1"/>
    <xf numFmtId="3" fontId="4" fillId="0" borderId="1" xfId="1" applyNumberFormat="1" applyFont="1" applyFill="1" applyBorder="1" applyAlignment="1"/>
    <xf numFmtId="3" fontId="4" fillId="4" borderId="1" xfId="1" applyNumberFormat="1" applyFont="1" applyFill="1" applyBorder="1" applyAlignment="1"/>
    <xf numFmtId="164" fontId="5" fillId="4" borderId="1" xfId="1" applyNumberFormat="1" applyFont="1" applyFill="1" applyBorder="1" applyAlignment="1"/>
    <xf numFmtId="3" fontId="4" fillId="3" borderId="1" xfId="1" applyNumberFormat="1" applyFont="1" applyFill="1" applyBorder="1" applyAlignment="1"/>
    <xf numFmtId="164" fontId="5" fillId="3" borderId="1" xfId="1" applyNumberFormat="1" applyFont="1" applyFill="1" applyBorder="1" applyAlignment="1"/>
    <xf numFmtId="0" fontId="0" fillId="3" borderId="1" xfId="0" applyFill="1" applyBorder="1"/>
    <xf numFmtId="43" fontId="0" fillId="0" borderId="0" xfId="1" applyFont="1"/>
    <xf numFmtId="43" fontId="0" fillId="0" borderId="1" xfId="1" applyFont="1" applyBorder="1"/>
    <xf numFmtId="0" fontId="2" fillId="0" borderId="1" xfId="0" applyFont="1" applyBorder="1"/>
    <xf numFmtId="0" fontId="0" fillId="0" borderId="1" xfId="0" applyBorder="1"/>
    <xf numFmtId="0" fontId="2" fillId="4" borderId="1" xfId="0" applyFont="1" applyFill="1" applyBorder="1"/>
    <xf numFmtId="10" fontId="0" fillId="0" borderId="0" xfId="0" applyNumberFormat="1"/>
    <xf numFmtId="164" fontId="5" fillId="4" borderId="1" xfId="2" applyNumberFormat="1" applyFont="1" applyFill="1" applyBorder="1" applyAlignment="1"/>
    <xf numFmtId="164" fontId="5" fillId="3" borderId="1" xfId="2" applyNumberFormat="1" applyFont="1" applyFill="1" applyBorder="1" applyAlignment="1"/>
    <xf numFmtId="43" fontId="0" fillId="0" borderId="0" xfId="2" applyFont="1"/>
  </cellXfs>
  <cellStyles count="3">
    <cellStyle name="Comma" xfId="2" builtinId="3"/>
    <cellStyle name="Comma 2" xfId="1" xr:uid="{F80F9DF9-EA98-4FCD-A2BD-91A222B3046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C3CF2-3A84-43DF-BA26-FA31BF1A261B}">
  <dimension ref="A1:M16"/>
  <sheetViews>
    <sheetView tabSelected="1" topLeftCell="E1" workbookViewId="0">
      <selection activeCell="Q12" sqref="Q12"/>
    </sheetView>
  </sheetViews>
  <sheetFormatPr defaultRowHeight="14.4" x14ac:dyDescent="0.3"/>
  <cols>
    <col min="3" max="3" width="22.6640625" bestFit="1" customWidth="1"/>
    <col min="4" max="4" width="11.5546875" bestFit="1" customWidth="1"/>
    <col min="5" max="5" width="15.5546875" bestFit="1" customWidth="1"/>
    <col min="6" max="6" width="15.5546875" customWidth="1"/>
    <col min="13" max="13" width="11.33203125" bestFit="1" customWidth="1"/>
  </cols>
  <sheetData>
    <row r="1" spans="1:13" ht="46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1" t="s">
        <v>24</v>
      </c>
      <c r="G1" s="11" t="s">
        <v>25</v>
      </c>
      <c r="H1" s="11" t="s">
        <v>26</v>
      </c>
      <c r="I1" s="11" t="s">
        <v>27</v>
      </c>
      <c r="J1" s="11" t="s">
        <v>28</v>
      </c>
      <c r="K1" s="11" t="s">
        <v>22</v>
      </c>
      <c r="L1" s="11" t="s">
        <v>23</v>
      </c>
      <c r="M1" s="11" t="s">
        <v>30</v>
      </c>
    </row>
    <row r="2" spans="1:13" x14ac:dyDescent="0.3">
      <c r="A2" s="5">
        <v>1</v>
      </c>
      <c r="B2" s="5">
        <v>638</v>
      </c>
      <c r="C2" s="5" t="s">
        <v>5</v>
      </c>
      <c r="D2" s="6" t="s">
        <v>6</v>
      </c>
      <c r="E2" s="6">
        <v>45273</v>
      </c>
      <c r="F2" s="14">
        <v>130</v>
      </c>
      <c r="G2" s="14"/>
      <c r="H2" s="15">
        <v>200</v>
      </c>
      <c r="I2" s="14">
        <v>563</v>
      </c>
      <c r="J2" s="14"/>
      <c r="K2" s="23">
        <v>17330</v>
      </c>
      <c r="L2" s="23">
        <v>17330</v>
      </c>
      <c r="M2" s="25">
        <v>17000</v>
      </c>
    </row>
    <row r="3" spans="1:13" x14ac:dyDescent="0.3">
      <c r="A3" s="8">
        <v>2</v>
      </c>
      <c r="B3" s="8">
        <v>642</v>
      </c>
      <c r="C3" s="8" t="s">
        <v>7</v>
      </c>
      <c r="D3" s="10" t="s">
        <v>8</v>
      </c>
      <c r="E3" s="10">
        <v>45309</v>
      </c>
      <c r="F3" s="16">
        <v>120</v>
      </c>
      <c r="G3" s="16"/>
      <c r="H3" s="17">
        <v>200</v>
      </c>
      <c r="I3" s="16">
        <v>519</v>
      </c>
      <c r="J3" s="16"/>
      <c r="K3" s="7">
        <v>15980</v>
      </c>
      <c r="L3" s="7">
        <v>15980</v>
      </c>
      <c r="M3" s="25">
        <v>15660</v>
      </c>
    </row>
    <row r="4" spans="1:13" x14ac:dyDescent="0.3">
      <c r="A4" s="5">
        <v>3</v>
      </c>
      <c r="B4" s="5">
        <v>674</v>
      </c>
      <c r="C4" s="5" t="s">
        <v>9</v>
      </c>
      <c r="D4" s="6" t="s">
        <v>10</v>
      </c>
      <c r="E4" s="6">
        <v>45691</v>
      </c>
      <c r="F4" s="14">
        <v>0</v>
      </c>
      <c r="G4" s="14"/>
      <c r="H4" s="15">
        <v>200</v>
      </c>
      <c r="I4" s="14">
        <v>0</v>
      </c>
      <c r="J4" s="14"/>
      <c r="K4" s="23">
        <v>150000</v>
      </c>
      <c r="L4" s="23">
        <v>150000</v>
      </c>
      <c r="M4" s="25">
        <v>149800</v>
      </c>
    </row>
    <row r="5" spans="1:13" x14ac:dyDescent="0.3">
      <c r="A5" s="5">
        <v>4</v>
      </c>
      <c r="B5" s="5">
        <v>677</v>
      </c>
      <c r="C5" s="5" t="s">
        <v>11</v>
      </c>
      <c r="D5" s="6" t="s">
        <v>12</v>
      </c>
      <c r="E5" s="6">
        <v>45792</v>
      </c>
      <c r="F5" s="14">
        <v>0</v>
      </c>
      <c r="G5" s="14"/>
      <c r="H5" s="15">
        <v>200</v>
      </c>
      <c r="I5" s="14">
        <v>0</v>
      </c>
      <c r="J5" s="14"/>
      <c r="K5" s="23">
        <v>32000</v>
      </c>
      <c r="L5" s="23">
        <v>32000</v>
      </c>
      <c r="M5" s="25">
        <v>31800</v>
      </c>
    </row>
    <row r="6" spans="1:13" x14ac:dyDescent="0.3">
      <c r="A6" s="8">
        <v>6</v>
      </c>
      <c r="B6" s="8">
        <v>692</v>
      </c>
      <c r="C6" s="8" t="s">
        <v>13</v>
      </c>
      <c r="D6" s="9" t="s">
        <v>14</v>
      </c>
      <c r="E6" s="10" t="s">
        <v>15</v>
      </c>
      <c r="F6" s="16">
        <v>0</v>
      </c>
      <c r="G6" s="16"/>
      <c r="H6" s="17">
        <v>200</v>
      </c>
      <c r="I6" s="16">
        <v>0</v>
      </c>
      <c r="J6" s="16"/>
      <c r="K6" s="7">
        <v>37500</v>
      </c>
      <c r="L6" s="7">
        <v>37500</v>
      </c>
      <c r="M6" s="26">
        <v>33550</v>
      </c>
    </row>
    <row r="7" spans="1:13" x14ac:dyDescent="0.3">
      <c r="A7" s="2">
        <v>7</v>
      </c>
      <c r="B7" s="2">
        <v>693</v>
      </c>
      <c r="C7" s="2" t="s">
        <v>16</v>
      </c>
      <c r="D7" s="4" t="s">
        <v>17</v>
      </c>
      <c r="E7" s="3">
        <v>46023</v>
      </c>
      <c r="F7" s="13">
        <v>0</v>
      </c>
      <c r="G7" s="13"/>
      <c r="H7" s="12">
        <v>200</v>
      </c>
      <c r="I7" s="13">
        <v>0</v>
      </c>
      <c r="J7" s="13"/>
      <c r="K7" s="21">
        <v>30000</v>
      </c>
      <c r="L7" s="21">
        <v>30000</v>
      </c>
      <c r="M7" s="25">
        <v>26800</v>
      </c>
    </row>
    <row r="8" spans="1:13" x14ac:dyDescent="0.3">
      <c r="A8" s="2">
        <v>8</v>
      </c>
      <c r="B8" s="2">
        <v>694</v>
      </c>
      <c r="C8" s="2" t="s">
        <v>18</v>
      </c>
      <c r="D8" s="4" t="s">
        <v>19</v>
      </c>
      <c r="E8" s="3">
        <v>46023</v>
      </c>
      <c r="F8" s="13">
        <v>113</v>
      </c>
      <c r="G8" s="13">
        <v>906</v>
      </c>
      <c r="H8" s="12">
        <v>200</v>
      </c>
      <c r="I8" s="13">
        <v>491</v>
      </c>
      <c r="J8" s="13">
        <v>906</v>
      </c>
      <c r="K8" s="21">
        <v>15103</v>
      </c>
      <c r="L8" s="21">
        <v>15103</v>
      </c>
      <c r="M8" s="25">
        <v>13884</v>
      </c>
    </row>
    <row r="9" spans="1:13" x14ac:dyDescent="0.3">
      <c r="A9" s="7">
        <v>9</v>
      </c>
      <c r="B9" s="7">
        <v>802</v>
      </c>
      <c r="C9" s="8" t="s">
        <v>20</v>
      </c>
      <c r="D9" s="9" t="s">
        <v>21</v>
      </c>
      <c r="E9" s="10">
        <v>45810</v>
      </c>
      <c r="F9" s="16">
        <v>109</v>
      </c>
      <c r="G9" s="18"/>
      <c r="H9" s="17">
        <v>200</v>
      </c>
      <c r="I9" s="16">
        <v>472</v>
      </c>
      <c r="J9" s="18"/>
      <c r="K9" s="7">
        <v>14530</v>
      </c>
      <c r="L9" s="7">
        <v>14530</v>
      </c>
      <c r="M9" s="25">
        <v>14221</v>
      </c>
    </row>
    <row r="10" spans="1:13" x14ac:dyDescent="0.3">
      <c r="A10" s="22" t="s">
        <v>29</v>
      </c>
      <c r="B10" s="22"/>
      <c r="C10" s="22"/>
      <c r="D10" s="22"/>
      <c r="E10" s="22"/>
      <c r="F10" s="22"/>
      <c r="G10" s="20"/>
      <c r="H10" s="20"/>
      <c r="I10" s="22"/>
      <c r="J10" s="22"/>
      <c r="K10" s="22">
        <v>312443</v>
      </c>
      <c r="L10" s="22">
        <v>312443</v>
      </c>
      <c r="M10" s="22">
        <f t="shared" ref="M10" si="0">SUM(M2:M9)</f>
        <v>302715</v>
      </c>
    </row>
    <row r="11" spans="1:13" x14ac:dyDescent="0.3">
      <c r="H11" s="19"/>
    </row>
    <row r="12" spans="1:13" x14ac:dyDescent="0.3">
      <c r="H12" s="19"/>
    </row>
    <row r="13" spans="1:13" x14ac:dyDescent="0.3">
      <c r="H13" s="19"/>
      <c r="M13" s="27"/>
    </row>
    <row r="14" spans="1:13" x14ac:dyDescent="0.3">
      <c r="H14" s="19"/>
    </row>
    <row r="16" spans="1:13" x14ac:dyDescent="0.3">
      <c r="L16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Manish Kandel</dc:creator>
  <cp:lastModifiedBy>Manish Kandel</cp:lastModifiedBy>
  <dcterms:created xsi:type="dcterms:W3CDTF">2026-07-22T06:02:49Z</dcterms:created>
  <dcterms:modified xsi:type="dcterms:W3CDTF">2026-07-22T06:44:38Z</dcterms:modified>
</cp:coreProperties>
</file>